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FILES\"/>
    </mc:Choice>
  </mc:AlternateContent>
  <xr:revisionPtr revIDLastSave="0" documentId="8_{41BE4925-D191-42B7-BC56-466D16FD050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TUDENT DATA" sheetId="1" r:id="rId1"/>
    <sheet name="SALES DATA" sheetId="2" r:id="rId2"/>
    <sheet name="EMPLYEE DATA" sheetId="3" r:id="rId3"/>
  </sheets>
  <definedNames>
    <definedName name="_xlnm._FilterDatabase" localSheetId="2" hidden="1">'EMPLYEE DATA'!$A$1:$H$21</definedName>
    <definedName name="_xlnm._FilterDatabase" localSheetId="1" hidden="1">'SALES DATA'!$A$2:$F$22</definedName>
    <definedName name="_xlnm._FilterDatabase" localSheetId="0" hidden="1">'STUDENT DATA'!$A$2:$J$22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" i="3" l="1"/>
  <c r="H2" i="3" a="1"/>
  <c r="H2" i="3" s="1"/>
  <c r="G2" i="3" a="1"/>
  <c r="G2" i="3" s="1"/>
  <c r="F21" i="3" l="1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I15" i="2"/>
  <c r="K8" i="3"/>
  <c r="K4" i="3"/>
  <c r="I23" i="2"/>
  <c r="I22" i="2"/>
  <c r="I21" i="2"/>
  <c r="I20" i="2"/>
  <c r="I19" i="2"/>
  <c r="I10" i="2"/>
  <c r="I9" i="2"/>
  <c r="I8" i="2"/>
  <c r="I7" i="2"/>
  <c r="I6" i="2"/>
  <c r="I5" i="2"/>
  <c r="I4" i="2"/>
  <c r="I3" i="2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H16" i="1"/>
  <c r="J15" i="1"/>
  <c r="H15" i="1"/>
  <c r="M14" i="1"/>
  <c r="J14" i="1"/>
  <c r="H14" i="1"/>
  <c r="J13" i="1"/>
  <c r="H13" i="1"/>
  <c r="J12" i="1"/>
  <c r="H12" i="1"/>
  <c r="J11" i="1"/>
  <c r="H11" i="1"/>
  <c r="J10" i="1"/>
  <c r="H10" i="1"/>
  <c r="J9" i="1"/>
  <c r="H9" i="1"/>
  <c r="J8" i="1"/>
  <c r="H8" i="1"/>
  <c r="L7" i="1"/>
  <c r="L7" i="1" a="1"/>
  <c r="J7" i="1"/>
  <c r="H7" i="1"/>
  <c r="J6" i="1"/>
  <c r="H6" i="1"/>
  <c r="J5" i="1"/>
  <c r="H5" i="1"/>
  <c r="J4" i="1"/>
  <c r="H4" i="1"/>
  <c r="M3" i="1"/>
  <c r="J3" i="1"/>
  <c r="H3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<sst xmlns="http://schemas.openxmlformats.org/spreadsheetml/2006/main" count="187" uniqueCount="135">
  <si>
    <t>Student ID</t>
  </si>
  <si>
    <t>Name</t>
  </si>
  <si>
    <t>Math</t>
  </si>
  <si>
    <t>Science</t>
  </si>
  <si>
    <t>English</t>
  </si>
  <si>
    <t>Enrollment Date</t>
  </si>
  <si>
    <t>Total Marks</t>
  </si>
  <si>
    <t>MATHS &amp; Science</t>
  </si>
  <si>
    <t>Average</t>
  </si>
  <si>
    <t>Grade</t>
  </si>
  <si>
    <t>STUDENT'S MATHS &gt; 50</t>
  </si>
  <si>
    <t>Rahul Sharma</t>
  </si>
  <si>
    <t>AVERAGE MATHS SCORE &gt; 60</t>
  </si>
  <si>
    <t>Priya Patel</t>
  </si>
  <si>
    <t>Neha Mehta</t>
  </si>
  <si>
    <t>Top Performing Students</t>
  </si>
  <si>
    <t>Rohan Verma</t>
  </si>
  <si>
    <t>STUDENT ID</t>
  </si>
  <si>
    <t>NAME</t>
  </si>
  <si>
    <t>MATHS</t>
  </si>
  <si>
    <t>SCIENCE</t>
  </si>
  <si>
    <t>ENGLISH</t>
  </si>
  <si>
    <t>ENROLLMENT DATE</t>
  </si>
  <si>
    <t>TOTAL MARKS</t>
  </si>
  <si>
    <t>MATHS &amp; SCIENCE</t>
  </si>
  <si>
    <t>AVERAGE</t>
  </si>
  <si>
    <t>GRADE</t>
  </si>
  <si>
    <t>Sneha Joshi</t>
  </si>
  <si>
    <t>Karan Desai</t>
  </si>
  <si>
    <t>Anjali Shah</t>
  </si>
  <si>
    <t>Arjun Patel</t>
  </si>
  <si>
    <t>Pooja Mehta</t>
  </si>
  <si>
    <t>Vivek Sharma</t>
  </si>
  <si>
    <t>Riya Desai</t>
  </si>
  <si>
    <t>SEARCH STUDENT ID</t>
  </si>
  <si>
    <t>Akash Patel</t>
  </si>
  <si>
    <t>STUDENT NAME</t>
  </si>
  <si>
    <t>Nisha Verma</t>
  </si>
  <si>
    <t>Yash Shah</t>
  </si>
  <si>
    <t>Kavya Joshi</t>
  </si>
  <si>
    <t>Dev Mehta</t>
  </si>
  <si>
    <t>Simran Patel</t>
  </si>
  <si>
    <t>Manish Desai</t>
  </si>
  <si>
    <t>Ayesha Khan</t>
  </si>
  <si>
    <t>Aarav Patel</t>
  </si>
  <si>
    <t>Sales ID</t>
  </si>
  <si>
    <t>Product</t>
  </si>
  <si>
    <t>Region</t>
  </si>
  <si>
    <t>Salesperson</t>
  </si>
  <si>
    <t>Amount</t>
  </si>
  <si>
    <t>Date</t>
  </si>
  <si>
    <t>SALES DETAILS</t>
  </si>
  <si>
    <t>Keyboard</t>
  </si>
  <si>
    <t>South</t>
  </si>
  <si>
    <t>SOUTH KEYBOARD SALES</t>
  </si>
  <si>
    <t>Printer</t>
  </si>
  <si>
    <t>West</t>
  </si>
  <si>
    <t>Arav patel</t>
  </si>
  <si>
    <t>TOTAL SALES</t>
  </si>
  <si>
    <t>Mouse</t>
  </si>
  <si>
    <t>Rohan shah</t>
  </si>
  <si>
    <t>AVERAGE SALES</t>
  </si>
  <si>
    <t>East</t>
  </si>
  <si>
    <t>Amitshah</t>
  </si>
  <si>
    <t>KEYBOARD SALES</t>
  </si>
  <si>
    <t>North</t>
  </si>
  <si>
    <t>Karan joshi</t>
  </si>
  <si>
    <t>PRINT SALES</t>
  </si>
  <si>
    <t>Arjun verma</t>
  </si>
  <si>
    <t>MOUSE SALES</t>
  </si>
  <si>
    <t>Yash desai</t>
  </si>
  <si>
    <t>MONITOR SALES</t>
  </si>
  <si>
    <t>Yash pandy</t>
  </si>
  <si>
    <t>LAPTOP  SALES</t>
  </si>
  <si>
    <t>Rakhi patel</t>
  </si>
  <si>
    <t>Kalpesh patil</t>
  </si>
  <si>
    <t>INDEX + MATCH</t>
  </si>
  <si>
    <t>Raj mehta</t>
  </si>
  <si>
    <t>SALESPERSON</t>
  </si>
  <si>
    <t>Monitor</t>
  </si>
  <si>
    <t>Harsh sharma</t>
  </si>
  <si>
    <t>months</t>
  </si>
  <si>
    <t>january</t>
  </si>
  <si>
    <t>Laptop</t>
  </si>
  <si>
    <t>Vivek joshi</t>
  </si>
  <si>
    <t>sales values</t>
  </si>
  <si>
    <t>Dev patel</t>
  </si>
  <si>
    <t>Rishi patel</t>
  </si>
  <si>
    <t>Rahul gandhi</t>
  </si>
  <si>
    <t>VLOOKUP – PRODUCT PRICE SEARCH</t>
  </si>
  <si>
    <t>Gandhi shah</t>
  </si>
  <si>
    <t>KEYBOARD PRICE SEARCH</t>
  </si>
  <si>
    <t>Modi bappu</t>
  </si>
  <si>
    <t>PRINTER  PRICE SEARCH</t>
  </si>
  <si>
    <t>Nikhil sharma</t>
  </si>
  <si>
    <t>MOUSE PRICE SEARCH</t>
  </si>
  <si>
    <t>Jay shah</t>
  </si>
  <si>
    <t>MONITOR PRICE SEARCH</t>
  </si>
  <si>
    <t>LAPTOP PRICE SEARCH</t>
  </si>
  <si>
    <t>Employee ID</t>
  </si>
  <si>
    <t>Department</t>
  </si>
  <si>
    <t>Salary</t>
  </si>
  <si>
    <t>Joining Date</t>
  </si>
  <si>
    <t>Finance</t>
  </si>
  <si>
    <t>XLOOKUP SALARY SEARCH</t>
  </si>
  <si>
    <t>XLOOKUP</t>
  </si>
  <si>
    <t>SALARY</t>
  </si>
  <si>
    <t>HR</t>
  </si>
  <si>
    <t>IT</t>
  </si>
  <si>
    <t>EMPLYEE ID</t>
  </si>
  <si>
    <t>JOINING DATE</t>
  </si>
  <si>
    <t>Marketing</t>
  </si>
  <si>
    <t>Aarav Sharma</t>
  </si>
  <si>
    <t>Rohan Patel</t>
  </si>
  <si>
    <t>Aditya Mehta</t>
  </si>
  <si>
    <t>Arjun Shah</t>
  </si>
  <si>
    <t>Rahul Verma</t>
  </si>
  <si>
    <t>Yash Joshi</t>
  </si>
  <si>
    <t>Vivek Singh</t>
  </si>
  <si>
    <t>Akash Gupta</t>
  </si>
  <si>
    <t>Raj Malhotra</t>
  </si>
  <si>
    <t>Neha Patel</t>
  </si>
  <si>
    <t>Priya Shah</t>
  </si>
  <si>
    <t>Ananya Mehta</t>
  </si>
  <si>
    <t>Sneha Verma</t>
  </si>
  <si>
    <t>Pooja Desai</t>
  </si>
  <si>
    <t>Riya Joshi</t>
  </si>
  <si>
    <t>Kavya Singh</t>
  </si>
  <si>
    <t>Simran Gupta</t>
  </si>
  <si>
    <t>Nisha Malhotra</t>
  </si>
  <si>
    <t>Isha Sharma</t>
  </si>
  <si>
    <t>Experience</t>
  </si>
  <si>
    <t>Ceiling</t>
  </si>
  <si>
    <t>Floor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</si>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</sst>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"/>
    <numFmt numFmtId="166" formatCode="[$-F400]h:mm:ss\ AM/PM"/>
    <numFmt numFmtId="167" formatCode="[$₹-4009]\ 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b/>
      <sz val="12"/>
      <color theme="1"/>
      <name val="Calibri"/>
      <charset val="1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charset val="1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F6D7FA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8E1B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9E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D7FA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2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4" fontId="0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2" fontId="0" fillId="4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readingOrder="1"/>
    </xf>
    <xf numFmtId="0" fontId="1" fillId="0" borderId="1" xfId="0" applyNumberFormat="1" applyFont="1" applyBorder="1" applyAlignment="1">
      <alignment horizontal="center" readingOrder="1"/>
    </xf>
    <xf numFmtId="0" fontId="0" fillId="0" borderId="1" xfId="0" applyBorder="1"/>
    <xf numFmtId="164" fontId="1" fillId="0" borderId="1" xfId="0" applyNumberFormat="1" applyFont="1" applyBorder="1" applyAlignment="1">
      <alignment horizontal="center" readingOrder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3" borderId="1" xfId="0" applyNumberFormat="1" applyFont="1" applyFill="1" applyBorder="1" applyAlignment="1">
      <alignment horizontal="center" readingOrder="1"/>
    </xf>
    <xf numFmtId="0" fontId="0" fillId="3" borderId="1" xfId="0" applyFill="1" applyBorder="1"/>
    <xf numFmtId="164" fontId="1" fillId="3" borderId="1" xfId="0" applyNumberFormat="1" applyFont="1" applyFill="1" applyBorder="1" applyAlignment="1">
      <alignment horizontal="center" readingOrder="1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4" fontId="0" fillId="0" borderId="0" xfId="0" applyNumberFormat="1"/>
    <xf numFmtId="0" fontId="1" fillId="7" borderId="1" xfId="0" applyFont="1" applyFill="1" applyBorder="1" applyAlignment="1">
      <alignment horizontal="center" readingOrder="1"/>
    </xf>
    <xf numFmtId="164" fontId="1" fillId="7" borderId="2" xfId="0" applyNumberFormat="1" applyFont="1" applyFill="1" applyBorder="1" applyAlignment="1">
      <alignment horizontal="center" readingOrder="1"/>
    </xf>
    <xf numFmtId="0" fontId="0" fillId="6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readingOrder="1"/>
    </xf>
    <xf numFmtId="164" fontId="1" fillId="8" borderId="1" xfId="0" applyNumberFormat="1" applyFont="1" applyFill="1" applyBorder="1" applyAlignment="1">
      <alignment horizontal="center" readingOrder="1"/>
    </xf>
    <xf numFmtId="0" fontId="1" fillId="8" borderId="1" xfId="0" applyNumberFormat="1" applyFont="1" applyFill="1" applyBorder="1" applyAlignment="1">
      <alignment horizontal="center" readingOrder="1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65" fontId="0" fillId="9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164" fontId="0" fillId="0" borderId="0" xfId="0" applyNumberFormat="1"/>
    <xf numFmtId="0" fontId="1" fillId="12" borderId="5" xfId="0" applyFont="1" applyFill="1" applyBorder="1" applyAlignment="1">
      <alignment horizontal="center" readingOrder="1"/>
    </xf>
    <xf numFmtId="0" fontId="6" fillId="12" borderId="5" xfId="0" applyFont="1" applyFill="1" applyBorder="1" applyAlignment="1">
      <alignment horizontal="center" readingOrder="1"/>
    </xf>
    <xf numFmtId="164" fontId="1" fillId="12" borderId="5" xfId="0" applyNumberFormat="1" applyFont="1" applyFill="1" applyBorder="1" applyAlignment="1">
      <alignment horizontal="center" readingOrder="1"/>
    </xf>
    <xf numFmtId="0" fontId="1" fillId="0" borderId="5" xfId="0" applyFont="1" applyBorder="1" applyAlignment="1">
      <alignment horizontal="center" readingOrder="1"/>
    </xf>
    <xf numFmtId="164" fontId="1" fillId="0" borderId="5" xfId="0" applyNumberFormat="1" applyFont="1" applyBorder="1" applyAlignment="1">
      <alignment horizontal="center" readingOrder="1"/>
    </xf>
    <xf numFmtId="0" fontId="7" fillId="2" borderId="5" xfId="0" applyFont="1" applyFill="1" applyBorder="1" applyAlignment="1">
      <alignment horizontal="center" readingOrder="1"/>
    </xf>
    <xf numFmtId="164" fontId="7" fillId="2" borderId="5" xfId="0" applyNumberFormat="1" applyFont="1" applyFill="1" applyBorder="1" applyAlignment="1">
      <alignment horizontal="center" readingOrder="1"/>
    </xf>
    <xf numFmtId="0" fontId="7" fillId="2" borderId="1" xfId="0" applyFont="1" applyFill="1" applyBorder="1" applyAlignment="1">
      <alignment horizontal="center" readingOrder="1"/>
    </xf>
    <xf numFmtId="166" fontId="7" fillId="2" borderId="1" xfId="0" applyNumberFormat="1" applyFont="1" applyFill="1" applyBorder="1" applyAlignment="1">
      <alignment horizontal="center" readingOrder="1"/>
    </xf>
    <xf numFmtId="167" fontId="7" fillId="2" borderId="5" xfId="0" applyNumberFormat="1" applyFont="1" applyFill="1" applyBorder="1" applyAlignment="1">
      <alignment horizontal="center" readingOrder="1"/>
    </xf>
    <xf numFmtId="167" fontId="1" fillId="12" borderId="5" xfId="0" applyNumberFormat="1" applyFont="1" applyFill="1" applyBorder="1" applyAlignment="1">
      <alignment horizontal="center" readingOrder="1"/>
    </xf>
    <xf numFmtId="167" fontId="1" fillId="0" borderId="5" xfId="0" applyNumberFormat="1" applyFont="1" applyBorder="1" applyAlignment="1">
      <alignment horizontal="center" readingOrder="1"/>
    </xf>
    <xf numFmtId="167" fontId="0" fillId="0" borderId="0" xfId="0" applyNumberFormat="1"/>
    <xf numFmtId="167" fontId="7" fillId="2" borderId="1" xfId="0" applyNumberFormat="1" applyFont="1" applyFill="1" applyBorder="1" applyAlignment="1">
      <alignment horizontal="center" readingOrder="1"/>
    </xf>
    <xf numFmtId="167" fontId="1" fillId="8" borderId="1" xfId="0" applyNumberFormat="1" applyFont="1" applyFill="1" applyBorder="1" applyAlignment="1">
      <alignment horizontal="center" readingOrder="1"/>
    </xf>
    <xf numFmtId="167" fontId="1" fillId="7" borderId="1" xfId="0" applyNumberFormat="1" applyFont="1" applyFill="1" applyBorder="1" applyAlignment="1">
      <alignment horizontal="center" readingOrder="1"/>
    </xf>
    <xf numFmtId="0" fontId="0" fillId="0" borderId="5" xfId="0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0" fillId="0" borderId="0" xfId="0" applyFont="1"/>
    <xf numFmtId="0" fontId="0" fillId="12" borderId="5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66" fontId="7" fillId="2" borderId="5" xfId="0" applyNumberFormat="1" applyFont="1" applyFill="1" applyBorder="1" applyAlignment="1">
      <alignment horizontal="center" readingOrder="1"/>
    </xf>
    <xf numFmtId="166" fontId="0" fillId="12" borderId="5" xfId="0" applyNumberFormat="1" applyFont="1" applyFill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12" borderId="5" xfId="0" applyNumberForma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6D7FA"/>
      <color rgb="FFE8E1BC"/>
      <color rgb="FFFFC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99"/>
  <sheetViews>
    <sheetView topLeftCell="N1" zoomScaleNormal="100" workbookViewId="0">
      <selection activeCell="N27" sqref="N27"/>
    </sheetView>
  </sheetViews>
  <sheetFormatPr defaultRowHeight="15" x14ac:dyDescent="0.25"/>
  <cols>
    <col min="1" max="1" width="13.42578125" customWidth="1"/>
    <col min="2" max="2" width="17.85546875" customWidth="1"/>
    <col min="3" max="3" width="14.28515625" customWidth="1"/>
    <col min="4" max="4" width="12.85546875" customWidth="1"/>
    <col min="5" max="5" width="14.28515625" customWidth="1"/>
    <col min="6" max="6" width="17.7109375" customWidth="1"/>
    <col min="7" max="7" width="22.7109375" customWidth="1"/>
    <col min="8" max="8" width="23.85546875" customWidth="1"/>
    <col min="9" max="9" width="13.140625" customWidth="1"/>
    <col min="10" max="10" width="14.28515625" customWidth="1"/>
    <col min="12" max="12" width="29.85546875" customWidth="1"/>
    <col min="13" max="13" width="13.7109375" customWidth="1"/>
    <col min="14" max="14" width="16.85546875" customWidth="1"/>
    <col min="15" max="15" width="16.5703125" customWidth="1"/>
    <col min="16" max="16" width="17.140625" customWidth="1"/>
    <col min="17" max="17" width="19.42578125" customWidth="1"/>
    <col min="18" max="18" width="17.28515625" customWidth="1"/>
    <col min="19" max="19" width="21.42578125" customWidth="1"/>
    <col min="20" max="20" width="16" customWidth="1"/>
    <col min="21" max="21" width="15" customWidth="1"/>
  </cols>
  <sheetData>
    <row r="2" spans="1:21" ht="15.75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42" t="s">
        <v>6</v>
      </c>
      <c r="H2" s="42" t="s">
        <v>7</v>
      </c>
      <c r="I2" s="42" t="s">
        <v>8</v>
      </c>
      <c r="J2" s="42" t="s">
        <v>9</v>
      </c>
      <c r="L2" s="36" t="s">
        <v>10</v>
      </c>
      <c r="M2" s="40">
        <f>COUNTIFS(C3:C22,"&gt;50")</f>
        <v>19</v>
      </c>
    </row>
    <row r="3" spans="1:21" ht="15.75" x14ac:dyDescent="0.25">
      <c r="A3" s="31">
        <v>1001</v>
      </c>
      <c r="B3" s="32" t="s">
        <v>11</v>
      </c>
      <c r="C3" s="31">
        <v>61</v>
      </c>
      <c r="D3" s="31">
        <v>48</v>
      </c>
      <c r="E3" s="31">
        <v>76</v>
      </c>
      <c r="F3" s="30">
        <v>43101</v>
      </c>
      <c r="G3" s="33">
        <v>185</v>
      </c>
      <c r="H3" s="33" t="str">
        <f>IF(AND(C3&gt;80,D3&gt;80),"YES","NO")</f>
        <v>NO</v>
      </c>
      <c r="I3" s="34">
        <v>61.666666666666664</v>
      </c>
      <c r="J3" s="33" t="str">
        <f>IF(I3&gt;=85,"A",IF(I3&gt;=60,"B",IF(I3&gt;=40,"C","FAIL")))</f>
        <v>B</v>
      </c>
      <c r="L3" s="35" t="s">
        <v>12</v>
      </c>
      <c r="M3" s="41">
        <f>AVERAGEIFS(C2:C21,C2:C21,"&gt;60")</f>
        <v>82.222222222222229</v>
      </c>
    </row>
    <row r="4" spans="1:21" x14ac:dyDescent="0.25">
      <c r="A4" s="16">
        <v>1002</v>
      </c>
      <c r="B4" s="17" t="s">
        <v>13</v>
      </c>
      <c r="C4" s="16">
        <v>78</v>
      </c>
      <c r="D4" s="16">
        <v>76</v>
      </c>
      <c r="E4" s="16">
        <v>70</v>
      </c>
      <c r="F4" s="18">
        <v>43281</v>
      </c>
      <c r="G4" s="19">
        <v>224</v>
      </c>
      <c r="H4" s="19" t="str">
        <f>IF(AND(C4&gt;80,D4&gt;80),"YES","NO")</f>
        <v>NO</v>
      </c>
      <c r="I4" s="20">
        <v>74.666666666666671</v>
      </c>
      <c r="J4" s="19" t="str">
        <f t="shared" ref="J4:J22" si="0">IF(I4&gt;=85,"A",IF(I4&gt;=60,"B",IF(I4&gt;=40,"C","FAIL")))</f>
        <v>B</v>
      </c>
    </row>
    <row r="5" spans="1:21" ht="15.75" x14ac:dyDescent="0.25">
      <c r="A5" s="11">
        <v>1003</v>
      </c>
      <c r="B5" s="12" t="s">
        <v>14</v>
      </c>
      <c r="C5" s="11">
        <v>97</v>
      </c>
      <c r="D5" s="11">
        <v>60</v>
      </c>
      <c r="E5" s="11">
        <v>51</v>
      </c>
      <c r="F5" s="13">
        <v>43461</v>
      </c>
      <c r="G5" s="14">
        <v>208</v>
      </c>
      <c r="H5" s="14" t="str">
        <f t="shared" ref="H5:H22" si="1">IF(AND(C5&gt;80,D5&gt;80),"YES","NO")</f>
        <v>NO</v>
      </c>
      <c r="I5" s="15">
        <v>69.333333333333329</v>
      </c>
      <c r="J5" s="14" t="str">
        <f t="shared" si="0"/>
        <v>B</v>
      </c>
      <c r="L5" s="67" t="s">
        <v>15</v>
      </c>
      <c r="M5" s="67"/>
      <c r="N5" s="67"/>
      <c r="O5" s="67"/>
      <c r="P5" s="67"/>
      <c r="Q5" s="67"/>
      <c r="R5" s="67"/>
      <c r="S5" s="67"/>
      <c r="T5" s="67"/>
      <c r="U5" s="3"/>
    </row>
    <row r="6" spans="1:21" ht="15.75" x14ac:dyDescent="0.25">
      <c r="A6" s="16">
        <v>1004</v>
      </c>
      <c r="B6" s="17" t="s">
        <v>16</v>
      </c>
      <c r="C6" s="16">
        <v>74</v>
      </c>
      <c r="D6" s="16">
        <v>55</v>
      </c>
      <c r="E6" s="16">
        <v>46</v>
      </c>
      <c r="F6" s="18">
        <v>43641</v>
      </c>
      <c r="G6" s="19">
        <v>175</v>
      </c>
      <c r="H6" s="19" t="str">
        <f t="shared" si="1"/>
        <v>NO</v>
      </c>
      <c r="I6" s="20">
        <v>58.333333333333336</v>
      </c>
      <c r="J6" s="19" t="str">
        <f t="shared" si="0"/>
        <v>C</v>
      </c>
      <c r="L6" s="39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4" t="s">
        <v>22</v>
      </c>
      <c r="R6" s="4" t="s">
        <v>23</v>
      </c>
      <c r="S6" s="4" t="s">
        <v>24</v>
      </c>
      <c r="T6" s="4" t="s">
        <v>25</v>
      </c>
      <c r="U6" s="4" t="s">
        <v>26</v>
      </c>
    </row>
    <row r="7" spans="1:21" ht="15.75" x14ac:dyDescent="0.25">
      <c r="A7" s="11">
        <v>1005</v>
      </c>
      <c r="B7" s="12" t="s">
        <v>27</v>
      </c>
      <c r="C7" s="11">
        <v>68</v>
      </c>
      <c r="D7" s="11">
        <v>74</v>
      </c>
      <c r="E7" s="11">
        <v>84</v>
      </c>
      <c r="F7" s="13">
        <v>43821</v>
      </c>
      <c r="G7" s="14">
        <v>226</v>
      </c>
      <c r="H7" s="14" t="str">
        <f t="shared" si="1"/>
        <v>NO</v>
      </c>
      <c r="I7" s="15">
        <v>75.333333333333329</v>
      </c>
      <c r="J7" s="14" t="str">
        <f t="shared" si="0"/>
        <v>B</v>
      </c>
      <c r="L7" s="8" cm="1">
        <f t="array" ref="L7:U8">_xlfn._xlws.FILTER(A3:J22,I3:I22&gt;80)</f>
        <v>1012</v>
      </c>
      <c r="M7" s="5" t="str">
        <v>Akash Patel</v>
      </c>
      <c r="N7" s="5">
        <v>85</v>
      </c>
      <c r="O7" s="5">
        <v>89</v>
      </c>
      <c r="P7" s="5">
        <v>79</v>
      </c>
      <c r="Q7" s="5">
        <v>45081</v>
      </c>
      <c r="R7" s="5">
        <v>253</v>
      </c>
      <c r="S7" s="6" t="str">
        <v>YES</v>
      </c>
      <c r="T7" s="9">
        <v>84.333333333333329</v>
      </c>
      <c r="U7" s="7" t="str">
        <v>B</v>
      </c>
    </row>
    <row r="8" spans="1:21" ht="15.75" x14ac:dyDescent="0.25">
      <c r="A8" s="16">
        <v>1006</v>
      </c>
      <c r="B8" s="17" t="s">
        <v>28</v>
      </c>
      <c r="C8" s="16">
        <v>80</v>
      </c>
      <c r="D8" s="16">
        <v>70</v>
      </c>
      <c r="E8" s="16">
        <v>65</v>
      </c>
      <c r="F8" s="18">
        <v>44001</v>
      </c>
      <c r="G8" s="19">
        <v>215</v>
      </c>
      <c r="H8" s="19" t="str">
        <f t="shared" si="1"/>
        <v>NO</v>
      </c>
      <c r="I8" s="20">
        <v>71.666666666666671</v>
      </c>
      <c r="J8" s="19" t="str">
        <f t="shared" si="0"/>
        <v>B</v>
      </c>
      <c r="L8" s="36">
        <v>1013</v>
      </c>
      <c r="M8" s="40" t="str">
        <v>Nisha Verma</v>
      </c>
      <c r="N8" s="40">
        <v>98</v>
      </c>
      <c r="O8" s="40">
        <v>90</v>
      </c>
      <c r="P8" s="40">
        <v>97</v>
      </c>
      <c r="Q8" s="40">
        <v>45261</v>
      </c>
      <c r="R8" s="40">
        <v>285</v>
      </c>
      <c r="S8" s="40" t="str">
        <v>YES</v>
      </c>
      <c r="T8" s="40">
        <v>95</v>
      </c>
      <c r="U8" s="37" t="str">
        <v>A</v>
      </c>
    </row>
    <row r="9" spans="1:21" x14ac:dyDescent="0.25">
      <c r="A9" s="11">
        <v>1007</v>
      </c>
      <c r="B9" s="12" t="s">
        <v>29</v>
      </c>
      <c r="C9" s="11">
        <v>75</v>
      </c>
      <c r="D9" s="11">
        <v>47</v>
      </c>
      <c r="E9" s="11">
        <v>78</v>
      </c>
      <c r="F9" s="13">
        <v>44181</v>
      </c>
      <c r="G9" s="14">
        <v>200</v>
      </c>
      <c r="H9" s="14" t="str">
        <f t="shared" si="1"/>
        <v>NO</v>
      </c>
      <c r="I9" s="15">
        <v>66.666666666666671</v>
      </c>
      <c r="J9" s="14" t="str">
        <f t="shared" si="0"/>
        <v>B</v>
      </c>
    </row>
    <row r="10" spans="1:21" x14ac:dyDescent="0.25">
      <c r="A10" s="16">
        <v>1008</v>
      </c>
      <c r="B10" s="17" t="s">
        <v>30</v>
      </c>
      <c r="C10" s="16">
        <v>94</v>
      </c>
      <c r="D10" s="16">
        <v>67</v>
      </c>
      <c r="E10" s="16">
        <v>64</v>
      </c>
      <c r="F10" s="18">
        <v>44361</v>
      </c>
      <c r="G10" s="19">
        <v>225</v>
      </c>
      <c r="H10" s="19" t="str">
        <f t="shared" si="1"/>
        <v>NO</v>
      </c>
      <c r="I10" s="20">
        <v>75</v>
      </c>
      <c r="J10" s="19" t="str">
        <f t="shared" si="0"/>
        <v>B</v>
      </c>
    </row>
    <row r="11" spans="1:21" x14ac:dyDescent="0.25">
      <c r="A11" s="11">
        <v>1009</v>
      </c>
      <c r="B11" s="12" t="s">
        <v>31</v>
      </c>
      <c r="C11" s="11">
        <v>41</v>
      </c>
      <c r="D11" s="11">
        <v>75</v>
      </c>
      <c r="E11" s="11">
        <v>56</v>
      </c>
      <c r="F11" s="13">
        <v>44541</v>
      </c>
      <c r="G11" s="14">
        <v>172</v>
      </c>
      <c r="H11" s="14" t="str">
        <f t="shared" si="1"/>
        <v>NO</v>
      </c>
      <c r="I11" s="15">
        <v>57.333333333333336</v>
      </c>
      <c r="J11" s="14" t="str">
        <f t="shared" si="0"/>
        <v>C</v>
      </c>
    </row>
    <row r="12" spans="1:21" x14ac:dyDescent="0.25">
      <c r="A12" s="16">
        <v>1010</v>
      </c>
      <c r="B12" s="17" t="s">
        <v>32</v>
      </c>
      <c r="C12" s="16">
        <v>98</v>
      </c>
      <c r="D12" s="16">
        <v>54</v>
      </c>
      <c r="E12" s="16">
        <v>58</v>
      </c>
      <c r="F12" s="18">
        <v>44721</v>
      </c>
      <c r="G12" s="19">
        <v>210</v>
      </c>
      <c r="H12" s="19" t="str">
        <f t="shared" si="1"/>
        <v>NO</v>
      </c>
      <c r="I12" s="20">
        <v>70</v>
      </c>
      <c r="J12" s="19" t="str">
        <f t="shared" si="0"/>
        <v>B</v>
      </c>
    </row>
    <row r="13" spans="1:21" ht="15.75" x14ac:dyDescent="0.25">
      <c r="A13" s="11">
        <v>1011</v>
      </c>
      <c r="B13" s="12" t="s">
        <v>33</v>
      </c>
      <c r="C13" s="11">
        <v>73</v>
      </c>
      <c r="D13" s="11">
        <v>79</v>
      </c>
      <c r="E13" s="11">
        <v>53</v>
      </c>
      <c r="F13" s="13">
        <v>44901</v>
      </c>
      <c r="G13" s="14">
        <v>205</v>
      </c>
      <c r="H13" s="14" t="str">
        <f t="shared" si="1"/>
        <v>NO</v>
      </c>
      <c r="I13" s="15">
        <v>68.333333333333329</v>
      </c>
      <c r="J13" s="14" t="str">
        <f t="shared" si="0"/>
        <v>B</v>
      </c>
      <c r="L13" s="35" t="s">
        <v>34</v>
      </c>
      <c r="M13" s="38">
        <v>1016</v>
      </c>
    </row>
    <row r="14" spans="1:21" ht="15.75" x14ac:dyDescent="0.25">
      <c r="A14" s="16">
        <v>1012</v>
      </c>
      <c r="B14" s="17" t="s">
        <v>35</v>
      </c>
      <c r="C14" s="16">
        <v>85</v>
      </c>
      <c r="D14" s="16">
        <v>89</v>
      </c>
      <c r="E14" s="16">
        <v>79</v>
      </c>
      <c r="F14" s="18">
        <v>45081</v>
      </c>
      <c r="G14" s="19">
        <v>253</v>
      </c>
      <c r="H14" s="19" t="str">
        <f t="shared" si="1"/>
        <v>YES</v>
      </c>
      <c r="I14" s="20">
        <v>84.333333333333329</v>
      </c>
      <c r="J14" s="19" t="str">
        <f t="shared" si="0"/>
        <v>B</v>
      </c>
      <c r="L14" s="36" t="s">
        <v>36</v>
      </c>
      <c r="M14" s="37" t="str">
        <f>VLOOKUP(M13,$A$3:$B$22,2,FALSE)</f>
        <v>Dev Mehta</v>
      </c>
    </row>
    <row r="15" spans="1:21" x14ac:dyDescent="0.25">
      <c r="A15" s="11">
        <v>1013</v>
      </c>
      <c r="B15" s="12" t="s">
        <v>37</v>
      </c>
      <c r="C15" s="11">
        <v>98</v>
      </c>
      <c r="D15" s="11">
        <v>90</v>
      </c>
      <c r="E15" s="11">
        <v>97</v>
      </c>
      <c r="F15" s="13">
        <v>45261</v>
      </c>
      <c r="G15" s="14">
        <v>285</v>
      </c>
      <c r="H15" s="14" t="str">
        <f t="shared" si="1"/>
        <v>YES</v>
      </c>
      <c r="I15" s="15">
        <v>95</v>
      </c>
      <c r="J15" s="14" t="str">
        <f t="shared" si="0"/>
        <v>A</v>
      </c>
    </row>
    <row r="16" spans="1:21" x14ac:dyDescent="0.25">
      <c r="A16" s="16">
        <v>1014</v>
      </c>
      <c r="B16" s="17" t="s">
        <v>38</v>
      </c>
      <c r="C16" s="16">
        <v>93</v>
      </c>
      <c r="D16" s="16">
        <v>40</v>
      </c>
      <c r="E16" s="16">
        <v>44</v>
      </c>
      <c r="F16" s="18">
        <v>45441</v>
      </c>
      <c r="G16" s="19">
        <v>177</v>
      </c>
      <c r="H16" s="19" t="str">
        <f t="shared" si="1"/>
        <v>NO</v>
      </c>
      <c r="I16" s="20">
        <v>59</v>
      </c>
      <c r="J16" s="19" t="str">
        <f t="shared" si="0"/>
        <v>C</v>
      </c>
    </row>
    <row r="17" spans="1:10" x14ac:dyDescent="0.25">
      <c r="A17" s="11">
        <v>1015</v>
      </c>
      <c r="B17" s="12" t="s">
        <v>39</v>
      </c>
      <c r="C17" s="11">
        <v>70</v>
      </c>
      <c r="D17" s="11">
        <v>51</v>
      </c>
      <c r="E17" s="11">
        <v>75</v>
      </c>
      <c r="F17" s="13">
        <v>45621</v>
      </c>
      <c r="G17" s="14">
        <v>196</v>
      </c>
      <c r="H17" s="14" t="str">
        <f t="shared" si="1"/>
        <v>NO</v>
      </c>
      <c r="I17" s="15">
        <v>65.333333333333329</v>
      </c>
      <c r="J17" s="14" t="str">
        <f t="shared" si="0"/>
        <v>B</v>
      </c>
    </row>
    <row r="18" spans="1:10" x14ac:dyDescent="0.25">
      <c r="A18" s="16">
        <v>1016</v>
      </c>
      <c r="B18" s="17" t="s">
        <v>40</v>
      </c>
      <c r="C18" s="16">
        <v>98</v>
      </c>
      <c r="D18" s="16">
        <v>77</v>
      </c>
      <c r="E18" s="16">
        <v>60</v>
      </c>
      <c r="F18" s="18">
        <v>45801</v>
      </c>
      <c r="G18" s="19">
        <v>235</v>
      </c>
      <c r="H18" s="19" t="str">
        <f t="shared" si="1"/>
        <v>NO</v>
      </c>
      <c r="I18" s="20">
        <v>78.333333333333329</v>
      </c>
      <c r="J18" s="19" t="str">
        <f t="shared" si="0"/>
        <v>B</v>
      </c>
    </row>
    <row r="19" spans="1:10" x14ac:dyDescent="0.25">
      <c r="A19" s="11">
        <v>1017</v>
      </c>
      <c r="B19" s="12" t="s">
        <v>41</v>
      </c>
      <c r="C19" s="11">
        <v>66</v>
      </c>
      <c r="D19" s="11">
        <v>59</v>
      </c>
      <c r="E19" s="11">
        <v>40</v>
      </c>
      <c r="F19" s="13">
        <v>45981</v>
      </c>
      <c r="G19" s="14">
        <v>165</v>
      </c>
      <c r="H19" s="14" t="str">
        <f t="shared" si="1"/>
        <v>NO</v>
      </c>
      <c r="I19" s="15">
        <v>55</v>
      </c>
      <c r="J19" s="14" t="str">
        <f t="shared" si="0"/>
        <v>C</v>
      </c>
    </row>
    <row r="20" spans="1:10" x14ac:dyDescent="0.25">
      <c r="A20" s="16">
        <v>1018</v>
      </c>
      <c r="B20" s="17" t="s">
        <v>42</v>
      </c>
      <c r="C20" s="16">
        <v>82</v>
      </c>
      <c r="D20" s="16">
        <v>48</v>
      </c>
      <c r="E20" s="16">
        <v>79</v>
      </c>
      <c r="F20" s="18">
        <v>46161</v>
      </c>
      <c r="G20" s="19">
        <v>209</v>
      </c>
      <c r="H20" s="19" t="str">
        <f t="shared" si="1"/>
        <v>NO</v>
      </c>
      <c r="I20" s="20">
        <v>69.666666666666671</v>
      </c>
      <c r="J20" s="19" t="str">
        <f t="shared" si="0"/>
        <v>B</v>
      </c>
    </row>
    <row r="21" spans="1:10" x14ac:dyDescent="0.25">
      <c r="A21" s="11">
        <v>1019</v>
      </c>
      <c r="B21" s="12" t="s">
        <v>43</v>
      </c>
      <c r="C21" s="11">
        <v>90</v>
      </c>
      <c r="D21" s="11">
        <v>78</v>
      </c>
      <c r="E21" s="11">
        <v>60</v>
      </c>
      <c r="F21" s="13">
        <v>46341</v>
      </c>
      <c r="G21" s="14">
        <v>228</v>
      </c>
      <c r="H21" s="14" t="str">
        <f t="shared" si="1"/>
        <v>NO</v>
      </c>
      <c r="I21" s="15">
        <v>76</v>
      </c>
      <c r="J21" s="14" t="str">
        <f t="shared" si="0"/>
        <v>B</v>
      </c>
    </row>
    <row r="22" spans="1:10" x14ac:dyDescent="0.25">
      <c r="A22" s="16">
        <v>1020</v>
      </c>
      <c r="B22" s="17" t="s">
        <v>44</v>
      </c>
      <c r="C22" s="16">
        <v>83</v>
      </c>
      <c r="D22" s="16">
        <v>92</v>
      </c>
      <c r="E22" s="16">
        <v>55</v>
      </c>
      <c r="F22" s="18">
        <v>46521</v>
      </c>
      <c r="G22" s="19">
        <v>230</v>
      </c>
      <c r="H22" s="19" t="str">
        <f t="shared" si="1"/>
        <v>YES</v>
      </c>
      <c r="I22" s="20">
        <v>76.666666666666671</v>
      </c>
      <c r="J22" s="19" t="str">
        <f t="shared" si="0"/>
        <v>B</v>
      </c>
    </row>
    <row r="24" spans="1:10" ht="15" customHeight="1" x14ac:dyDescent="0.25">
      <c r="A24" s="1"/>
    </row>
    <row r="199" spans="6:6" x14ac:dyDescent="0.25">
      <c r="F199" s="2"/>
    </row>
  </sheetData>
  <autoFilter ref="A2:J22" xr:uid="{00000000-0001-0000-0000-000000000000}"/>
  <mergeCells count="1">
    <mergeCell ref="L5:T5"/>
  </mergeCells>
  <conditionalFormatting sqref="A3:J22">
    <cfRule type="expression" dxfId="5" priority="5">
      <formula>MOD(ROW(),2)=1</formula>
    </cfRule>
  </conditionalFormatting>
  <conditionalFormatting sqref="L6:U8">
    <cfRule type="expression" dxfId="4" priority="3" stopIfTrue="1">
      <formula>MOD(ROW(),2)=1</formula>
    </cfRule>
  </conditionalFormatting>
  <conditionalFormatting sqref="M2:M3">
    <cfRule type="expression" dxfId="3" priority="1" stopIfTrue="1">
      <formula>MOD(ROW(),2)=1</formula>
    </cfRule>
  </conditionalFormatting>
  <conditionalFormatting sqref="M13:M14">
    <cfRule type="expression" dxfId="2" priority="2" stopIfTrue="1">
      <formula>MOD(ROW(),2)=1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A20F-A83C-4C50-B2C6-B2B6681F34C4}">
  <dimension ref="A2:I23"/>
  <sheetViews>
    <sheetView zoomScaleNormal="100" workbookViewId="0">
      <selection activeCell="D37" sqref="D37"/>
    </sheetView>
  </sheetViews>
  <sheetFormatPr defaultRowHeight="15" x14ac:dyDescent="0.25"/>
  <cols>
    <col min="1" max="1" width="14.85546875" customWidth="1"/>
    <col min="2" max="2" width="15.42578125" customWidth="1"/>
    <col min="3" max="3" width="18.42578125" customWidth="1"/>
    <col min="4" max="4" width="16.85546875" customWidth="1"/>
    <col min="5" max="5" width="20.85546875" style="58" customWidth="1"/>
    <col min="6" max="6" width="19.140625" style="21" customWidth="1"/>
    <col min="8" max="8" width="26.85546875" customWidth="1"/>
    <col min="9" max="9" width="17.85546875" customWidth="1"/>
  </cols>
  <sheetData>
    <row r="2" spans="1:9" ht="15.75" x14ac:dyDescent="0.25">
      <c r="A2" s="53" t="s">
        <v>45</v>
      </c>
      <c r="B2" s="53" t="s">
        <v>46</v>
      </c>
      <c r="C2" s="53" t="s">
        <v>47</v>
      </c>
      <c r="D2" s="53" t="s">
        <v>48</v>
      </c>
      <c r="E2" s="59" t="s">
        <v>49</v>
      </c>
      <c r="F2" s="54" t="s">
        <v>50</v>
      </c>
      <c r="H2" s="67" t="s">
        <v>51</v>
      </c>
      <c r="I2" s="67"/>
    </row>
    <row r="3" spans="1:9" x14ac:dyDescent="0.25">
      <c r="A3" s="29">
        <v>2001</v>
      </c>
      <c r="B3" s="29" t="s">
        <v>52</v>
      </c>
      <c r="C3" s="29" t="s">
        <v>53</v>
      </c>
      <c r="D3" s="29" t="s">
        <v>11</v>
      </c>
      <c r="E3" s="60">
        <v>7048</v>
      </c>
      <c r="F3" s="30">
        <v>43101</v>
      </c>
      <c r="H3" s="24" t="s">
        <v>54</v>
      </c>
      <c r="I3" s="24">
        <f>SUMIFS(E2:E21,B2:B21,"KEYBOARD",C2:C21,"SOUTH")</f>
        <v>42233</v>
      </c>
    </row>
    <row r="4" spans="1:9" x14ac:dyDescent="0.25">
      <c r="A4" s="22">
        <v>2002</v>
      </c>
      <c r="B4" s="22" t="s">
        <v>55</v>
      </c>
      <c r="C4" s="22" t="s">
        <v>56</v>
      </c>
      <c r="D4" s="22" t="s">
        <v>57</v>
      </c>
      <c r="E4" s="61">
        <v>17428</v>
      </c>
      <c r="F4" s="23">
        <v>43281</v>
      </c>
      <c r="H4" s="14" t="s">
        <v>58</v>
      </c>
      <c r="I4" s="14">
        <f>SUM(E3:E22)</f>
        <v>507725</v>
      </c>
    </row>
    <row r="5" spans="1:9" x14ac:dyDescent="0.25">
      <c r="A5" s="22">
        <v>2003</v>
      </c>
      <c r="B5" s="22" t="s">
        <v>59</v>
      </c>
      <c r="C5" s="22" t="s">
        <v>53</v>
      </c>
      <c r="D5" s="22" t="s">
        <v>60</v>
      </c>
      <c r="E5" s="61">
        <v>23672</v>
      </c>
      <c r="F5" s="23">
        <v>43461</v>
      </c>
      <c r="H5" s="24" t="s">
        <v>61</v>
      </c>
      <c r="I5" s="24">
        <f>AVERAGE(E2:E22)</f>
        <v>25386.25</v>
      </c>
    </row>
    <row r="6" spans="1:9" x14ac:dyDescent="0.25">
      <c r="A6" s="22">
        <v>2004</v>
      </c>
      <c r="B6" s="22" t="s">
        <v>55</v>
      </c>
      <c r="C6" s="22" t="s">
        <v>62</v>
      </c>
      <c r="D6" s="22" t="s">
        <v>63</v>
      </c>
      <c r="E6" s="61">
        <v>5264</v>
      </c>
      <c r="F6" s="23">
        <v>43641</v>
      </c>
      <c r="H6" s="14" t="s">
        <v>64</v>
      </c>
      <c r="I6" s="14">
        <f>SUMIF(B3:B22,"KEYBOARD",E3:E22)</f>
        <v>165970</v>
      </c>
    </row>
    <row r="7" spans="1:9" x14ac:dyDescent="0.25">
      <c r="A7" s="22">
        <v>2005</v>
      </c>
      <c r="B7" s="22" t="s">
        <v>52</v>
      </c>
      <c r="C7" s="22" t="s">
        <v>65</v>
      </c>
      <c r="D7" s="22" t="s">
        <v>66</v>
      </c>
      <c r="E7" s="61">
        <v>43388</v>
      </c>
      <c r="F7" s="23">
        <v>43821</v>
      </c>
      <c r="H7" s="24" t="s">
        <v>67</v>
      </c>
      <c r="I7" s="24">
        <f>SUMIF(B3:B22,"PRINTER",E3:E22)</f>
        <v>76391</v>
      </c>
    </row>
    <row r="8" spans="1:9" x14ac:dyDescent="0.25">
      <c r="A8" s="22">
        <v>2006</v>
      </c>
      <c r="B8" s="22" t="s">
        <v>59</v>
      </c>
      <c r="C8" s="22" t="s">
        <v>65</v>
      </c>
      <c r="D8" s="22" t="s">
        <v>68</v>
      </c>
      <c r="E8" s="61">
        <v>19757</v>
      </c>
      <c r="F8" s="23">
        <v>44001</v>
      </c>
      <c r="H8" s="14" t="s">
        <v>69</v>
      </c>
      <c r="I8" s="14">
        <f>SUMIF(B3:B22,"MOUSE",E3:E22)</f>
        <v>111200</v>
      </c>
    </row>
    <row r="9" spans="1:9" x14ac:dyDescent="0.25">
      <c r="A9" s="22">
        <v>2007</v>
      </c>
      <c r="B9" s="22" t="s">
        <v>59</v>
      </c>
      <c r="C9" s="22" t="s">
        <v>62</v>
      </c>
      <c r="D9" s="22" t="s">
        <v>70</v>
      </c>
      <c r="E9" s="61">
        <v>32058</v>
      </c>
      <c r="F9" s="23">
        <v>44181</v>
      </c>
      <c r="H9" s="24" t="s">
        <v>71</v>
      </c>
      <c r="I9" s="24">
        <f>SUMIF(B3:B22,"MONITOR",E3:E22)</f>
        <v>115643</v>
      </c>
    </row>
    <row r="10" spans="1:9" x14ac:dyDescent="0.25">
      <c r="A10" s="22">
        <v>2008</v>
      </c>
      <c r="B10" s="22" t="s">
        <v>52</v>
      </c>
      <c r="C10" s="22" t="s">
        <v>62</v>
      </c>
      <c r="D10" s="22" t="s">
        <v>72</v>
      </c>
      <c r="E10" s="61">
        <v>46429</v>
      </c>
      <c r="F10" s="23">
        <v>44361</v>
      </c>
      <c r="H10" s="14" t="s">
        <v>73</v>
      </c>
      <c r="I10" s="14">
        <f>SUMIF(B3:B22,"LAPTOP",E3:E22)</f>
        <v>38521</v>
      </c>
    </row>
    <row r="11" spans="1:9" x14ac:dyDescent="0.25">
      <c r="A11" s="22">
        <v>2009</v>
      </c>
      <c r="B11" s="22" t="s">
        <v>55</v>
      </c>
      <c r="C11" s="22" t="s">
        <v>62</v>
      </c>
      <c r="D11" s="22" t="s">
        <v>74</v>
      </c>
      <c r="E11" s="61">
        <v>19746</v>
      </c>
      <c r="F11" s="23">
        <v>44541</v>
      </c>
    </row>
    <row r="12" spans="1:9" ht="15.75" x14ac:dyDescent="0.25">
      <c r="A12" s="22">
        <v>2010</v>
      </c>
      <c r="B12" s="22" t="s">
        <v>52</v>
      </c>
      <c r="C12" s="22" t="s">
        <v>53</v>
      </c>
      <c r="D12" s="22" t="s">
        <v>75</v>
      </c>
      <c r="E12" s="61">
        <v>35185</v>
      </c>
      <c r="F12" s="23">
        <v>44721</v>
      </c>
      <c r="H12" s="67" t="s">
        <v>76</v>
      </c>
      <c r="I12" s="67"/>
    </row>
    <row r="13" spans="1:9" x14ac:dyDescent="0.25">
      <c r="A13" s="22">
        <v>2011</v>
      </c>
      <c r="B13" s="22" t="s">
        <v>52</v>
      </c>
      <c r="C13" s="22" t="s">
        <v>62</v>
      </c>
      <c r="D13" s="22" t="s">
        <v>77</v>
      </c>
      <c r="E13" s="61">
        <v>33920</v>
      </c>
      <c r="F13" s="23">
        <v>44901</v>
      </c>
      <c r="H13" s="27" t="s">
        <v>78</v>
      </c>
      <c r="I13" s="27" t="s">
        <v>11</v>
      </c>
    </row>
    <row r="14" spans="1:9" x14ac:dyDescent="0.25">
      <c r="A14" s="22">
        <v>2012</v>
      </c>
      <c r="B14" s="22" t="s">
        <v>79</v>
      </c>
      <c r="C14" s="22" t="s">
        <v>65</v>
      </c>
      <c r="D14" s="22" t="s">
        <v>80</v>
      </c>
      <c r="E14" s="61">
        <v>35611</v>
      </c>
      <c r="F14" s="23">
        <v>45081</v>
      </c>
      <c r="H14" s="25" t="s">
        <v>81</v>
      </c>
      <c r="I14" s="25" t="s">
        <v>82</v>
      </c>
    </row>
    <row r="15" spans="1:9" x14ac:dyDescent="0.25">
      <c r="A15" s="22">
        <v>2013</v>
      </c>
      <c r="B15" s="22" t="s">
        <v>83</v>
      </c>
      <c r="C15" s="22" t="s">
        <v>62</v>
      </c>
      <c r="D15" s="22" t="s">
        <v>84</v>
      </c>
      <c r="E15" s="61">
        <v>15560</v>
      </c>
      <c r="F15" s="23">
        <v>45261</v>
      </c>
      <c r="H15" s="27" t="s">
        <v>85</v>
      </c>
      <c r="I15" s="27">
        <f>INDEX(E3:E22,MATCH(I13,D3:D22,0))</f>
        <v>7048</v>
      </c>
    </row>
    <row r="16" spans="1:9" x14ac:dyDescent="0.25">
      <c r="A16" s="22">
        <v>2014</v>
      </c>
      <c r="B16" s="22" t="s">
        <v>83</v>
      </c>
      <c r="C16" s="22" t="s">
        <v>53</v>
      </c>
      <c r="D16" s="22" t="s">
        <v>86</v>
      </c>
      <c r="E16" s="61">
        <v>7283</v>
      </c>
      <c r="F16" s="23">
        <v>45441</v>
      </c>
    </row>
    <row r="17" spans="1:9" x14ac:dyDescent="0.25">
      <c r="A17" s="22">
        <v>2015</v>
      </c>
      <c r="B17" s="22" t="s">
        <v>83</v>
      </c>
      <c r="C17" s="22" t="s">
        <v>62</v>
      </c>
      <c r="D17" s="22" t="s">
        <v>87</v>
      </c>
      <c r="E17" s="61">
        <v>15678</v>
      </c>
      <c r="F17" s="23">
        <v>45621</v>
      </c>
    </row>
    <row r="18" spans="1:9" ht="15.75" x14ac:dyDescent="0.25">
      <c r="A18" s="22">
        <v>2016</v>
      </c>
      <c r="B18" s="22" t="s">
        <v>59</v>
      </c>
      <c r="C18" s="22" t="s">
        <v>62</v>
      </c>
      <c r="D18" s="22" t="s">
        <v>88</v>
      </c>
      <c r="E18" s="61">
        <v>5277</v>
      </c>
      <c r="F18" s="23">
        <v>45801</v>
      </c>
      <c r="H18" s="67" t="s">
        <v>89</v>
      </c>
      <c r="I18" s="67"/>
    </row>
    <row r="19" spans="1:9" x14ac:dyDescent="0.25">
      <c r="A19" s="22">
        <v>2017</v>
      </c>
      <c r="B19" s="22" t="s">
        <v>79</v>
      </c>
      <c r="C19" s="22" t="s">
        <v>65</v>
      </c>
      <c r="D19" s="22" t="s">
        <v>90</v>
      </c>
      <c r="E19" s="61">
        <v>41871</v>
      </c>
      <c r="F19" s="23">
        <v>45981</v>
      </c>
      <c r="H19" s="24" t="s">
        <v>91</v>
      </c>
      <c r="I19" s="24">
        <f>VLOOKUP("KEYBOARD",B3:E22,4,FALSE)</f>
        <v>7048</v>
      </c>
    </row>
    <row r="20" spans="1:9" x14ac:dyDescent="0.25">
      <c r="A20" s="22">
        <v>2018</v>
      </c>
      <c r="B20" s="22" t="s">
        <v>79</v>
      </c>
      <c r="C20" s="22" t="s">
        <v>56</v>
      </c>
      <c r="D20" s="22" t="s">
        <v>92</v>
      </c>
      <c r="E20" s="61">
        <v>38161</v>
      </c>
      <c r="F20" s="23">
        <v>46161</v>
      </c>
      <c r="H20" s="14" t="s">
        <v>93</v>
      </c>
      <c r="I20" s="14">
        <f>VLOOKUP("PRINTER",B3:E22,4,FALSE)</f>
        <v>17428</v>
      </c>
    </row>
    <row r="21" spans="1:9" x14ac:dyDescent="0.25">
      <c r="A21" s="22">
        <v>2019</v>
      </c>
      <c r="B21" s="22" t="s">
        <v>59</v>
      </c>
      <c r="C21" s="22" t="s">
        <v>56</v>
      </c>
      <c r="D21" s="22" t="s">
        <v>94</v>
      </c>
      <c r="E21" s="61">
        <v>30436</v>
      </c>
      <c r="F21" s="23">
        <v>46341</v>
      </c>
      <c r="H21" s="28" t="s">
        <v>95</v>
      </c>
      <c r="I21" s="24">
        <f>VLOOKUP("MOUSE",B3:E22,4,FALSE)</f>
        <v>23672</v>
      </c>
    </row>
    <row r="22" spans="1:9" x14ac:dyDescent="0.25">
      <c r="A22" s="22">
        <v>2020</v>
      </c>
      <c r="B22" s="22" t="s">
        <v>55</v>
      </c>
      <c r="C22" s="22" t="s">
        <v>56</v>
      </c>
      <c r="D22" s="22" t="s">
        <v>96</v>
      </c>
      <c r="E22" s="61">
        <v>33953</v>
      </c>
      <c r="F22" s="23">
        <v>46521</v>
      </c>
      <c r="H22" s="26" t="s">
        <v>97</v>
      </c>
      <c r="I22" s="14">
        <f>VLOOKUP("MONITOR",B3:E22,4,FALSE)</f>
        <v>35611</v>
      </c>
    </row>
    <row r="23" spans="1:9" x14ac:dyDescent="0.25">
      <c r="H23" s="28" t="s">
        <v>98</v>
      </c>
      <c r="I23" s="24">
        <f>VLOOKUP("LAPTOP",B3:E22,4,FALSE)</f>
        <v>15560</v>
      </c>
    </row>
  </sheetData>
  <autoFilter ref="A2:F22" xr:uid="{701BA20F-A83C-4C50-B2C6-B2B6681F34C4}">
    <sortState xmlns:xlrd2="http://schemas.microsoft.com/office/spreadsheetml/2017/richdata2" ref="A3:F22">
      <sortCondition ref="A2:A22"/>
    </sortState>
  </autoFilter>
  <mergeCells count="3">
    <mergeCell ref="H2:I2"/>
    <mergeCell ref="H12:I12"/>
    <mergeCell ref="H18:I18"/>
  </mergeCells>
  <conditionalFormatting sqref="A3:F22">
    <cfRule type="expression" dxfId="1" priority="1">
      <formula>MOD(ROW(),2)=1</formula>
    </cfRule>
    <cfRule type="cellIs" dxfId="0" priority="2" stopIfTrue="1" operator="greaterThan">
      <formula>MOD(ROW(),2)=1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616D-761F-4F05-82BC-D0423B784B2A}">
  <dimension ref="A1:M21"/>
  <sheetViews>
    <sheetView tabSelected="1" workbookViewId="0">
      <selection activeCell="K17" sqref="K17"/>
    </sheetView>
  </sheetViews>
  <sheetFormatPr defaultRowHeight="15" x14ac:dyDescent="0.25"/>
  <cols>
    <col min="1" max="1" width="15.7109375" customWidth="1"/>
    <col min="2" max="2" width="16.140625" customWidth="1"/>
    <col min="3" max="3" width="13" customWidth="1"/>
    <col min="4" max="4" width="15.85546875" style="58" customWidth="1"/>
    <col min="5" max="5" width="16.7109375" style="45" customWidth="1"/>
    <col min="6" max="6" width="21.85546875" style="77" customWidth="1"/>
    <col min="7" max="7" width="15.85546875" customWidth="1"/>
    <col min="8" max="8" width="21.5703125" customWidth="1"/>
    <col min="9" max="9" width="8" customWidth="1"/>
    <col min="10" max="10" width="16.28515625" customWidth="1"/>
    <col min="11" max="11" width="16.5703125" customWidth="1"/>
  </cols>
  <sheetData>
    <row r="1" spans="1:13" ht="15.75" x14ac:dyDescent="0.25">
      <c r="A1" s="51" t="s">
        <v>99</v>
      </c>
      <c r="B1" s="51" t="s">
        <v>1</v>
      </c>
      <c r="C1" s="51" t="s">
        <v>100</v>
      </c>
      <c r="D1" s="55" t="s">
        <v>101</v>
      </c>
      <c r="E1" s="52" t="s">
        <v>102</v>
      </c>
      <c r="F1" s="73" t="s">
        <v>131</v>
      </c>
      <c r="G1" s="51" t="s">
        <v>132</v>
      </c>
      <c r="H1" s="63" t="s">
        <v>133</v>
      </c>
    </row>
    <row r="2" spans="1:13" ht="15.75" x14ac:dyDescent="0.25">
      <c r="A2" s="46">
        <v>3001</v>
      </c>
      <c r="B2" s="47" t="s">
        <v>112</v>
      </c>
      <c r="C2" s="46" t="s">
        <v>103</v>
      </c>
      <c r="D2" s="56">
        <v>86766</v>
      </c>
      <c r="E2" s="48">
        <v>42005</v>
      </c>
      <c r="F2" s="74" t="str">
        <f t="shared" ref="F2:F21" ca="1" si="0">IF(E2&gt;TODAY(),"Not Joined",DATEDIF(E2,TODAY(),"Y")&amp;" Years")</f>
        <v>11 Years</v>
      </c>
      <c r="G2" s="65" cm="1">
        <f t="array" ref="G2:G21">CEILING(D2:D21,1000)</f>
        <v>87000</v>
      </c>
      <c r="H2" s="65" cm="1">
        <f t="array" ref="H2:H21">FLOOR(D2:D21,1000)</f>
        <v>86000</v>
      </c>
      <c r="J2" s="67" t="s">
        <v>104</v>
      </c>
      <c r="K2" s="67"/>
    </row>
    <row r="3" spans="1:13" x14ac:dyDescent="0.25">
      <c r="A3" s="49">
        <v>3002</v>
      </c>
      <c r="B3" s="49" t="s">
        <v>113</v>
      </c>
      <c r="C3" s="49" t="s">
        <v>103</v>
      </c>
      <c r="D3" s="57">
        <v>31943</v>
      </c>
      <c r="E3" s="50">
        <v>42255</v>
      </c>
      <c r="F3" s="75" t="str">
        <f t="shared" ca="1" si="0"/>
        <v>11 Years</v>
      </c>
      <c r="G3" s="62">
        <v>32000</v>
      </c>
      <c r="H3" s="62">
        <v>31000</v>
      </c>
      <c r="J3" s="43" t="s">
        <v>105</v>
      </c>
      <c r="K3" s="43" t="s">
        <v>106</v>
      </c>
    </row>
    <row r="4" spans="1:13" x14ac:dyDescent="0.25">
      <c r="A4" s="46">
        <v>3003</v>
      </c>
      <c r="B4" s="46" t="s">
        <v>114</v>
      </c>
      <c r="C4" s="46" t="s">
        <v>107</v>
      </c>
      <c r="D4" s="56">
        <v>63374</v>
      </c>
      <c r="E4" s="48">
        <v>42505</v>
      </c>
      <c r="F4" s="76" t="str">
        <f t="shared" ca="1" si="0"/>
        <v>10 Years</v>
      </c>
      <c r="G4" s="66">
        <v>64000</v>
      </c>
      <c r="H4" s="66">
        <v>63000</v>
      </c>
      <c r="J4" s="14">
        <v>3001</v>
      </c>
      <c r="K4" s="14">
        <f>_xlfn.XLOOKUP(J4,A2:A21,D2:D21)</f>
        <v>86766</v>
      </c>
    </row>
    <row r="5" spans="1:13" x14ac:dyDescent="0.25">
      <c r="A5" s="49">
        <v>3004</v>
      </c>
      <c r="B5" s="49" t="s">
        <v>115</v>
      </c>
      <c r="C5" s="49" t="s">
        <v>103</v>
      </c>
      <c r="D5" s="57">
        <v>109972</v>
      </c>
      <c r="E5" s="50">
        <v>42755</v>
      </c>
      <c r="F5" s="75" t="str">
        <f t="shared" ca="1" si="0"/>
        <v>9 Years</v>
      </c>
      <c r="G5" s="62">
        <v>110000</v>
      </c>
      <c r="H5" s="62">
        <v>109000</v>
      </c>
    </row>
    <row r="6" spans="1:13" ht="15.75" x14ac:dyDescent="0.25">
      <c r="A6" s="46">
        <v>3005</v>
      </c>
      <c r="B6" s="46" t="s">
        <v>116</v>
      </c>
      <c r="C6" s="46" t="s">
        <v>108</v>
      </c>
      <c r="D6" s="56">
        <v>54149</v>
      </c>
      <c r="E6" s="48">
        <v>43005</v>
      </c>
      <c r="F6" s="76" t="str">
        <f t="shared" ca="1" si="0"/>
        <v>8 Years</v>
      </c>
      <c r="G6" s="66">
        <v>55000</v>
      </c>
      <c r="H6" s="66">
        <v>54000</v>
      </c>
      <c r="J6" s="68" t="s">
        <v>104</v>
      </c>
      <c r="K6" s="69"/>
    </row>
    <row r="7" spans="1:13" x14ac:dyDescent="0.25">
      <c r="A7" s="49">
        <v>3006</v>
      </c>
      <c r="B7" s="49" t="s">
        <v>28</v>
      </c>
      <c r="C7" s="49" t="s">
        <v>108</v>
      </c>
      <c r="D7" s="57">
        <v>78689</v>
      </c>
      <c r="E7" s="50">
        <v>43255</v>
      </c>
      <c r="F7" s="75" t="str">
        <f t="shared" ca="1" si="0"/>
        <v>8 Years</v>
      </c>
      <c r="G7" s="62">
        <v>79000</v>
      </c>
      <c r="H7" s="62">
        <v>78000</v>
      </c>
      <c r="J7" s="44" t="s">
        <v>109</v>
      </c>
      <c r="K7" s="43" t="s">
        <v>110</v>
      </c>
    </row>
    <row r="8" spans="1:13" x14ac:dyDescent="0.25">
      <c r="A8" s="46">
        <v>3007</v>
      </c>
      <c r="B8" s="46" t="s">
        <v>117</v>
      </c>
      <c r="C8" s="46" t="s">
        <v>111</v>
      </c>
      <c r="D8" s="56">
        <v>35960</v>
      </c>
      <c r="E8" s="48">
        <v>43505</v>
      </c>
      <c r="F8" s="76" t="str">
        <f t="shared" ca="1" si="0"/>
        <v>7 Years</v>
      </c>
      <c r="G8" s="66">
        <v>36000</v>
      </c>
      <c r="H8" s="66">
        <v>35000</v>
      </c>
      <c r="J8" s="14">
        <v>3006</v>
      </c>
      <c r="K8" s="14">
        <f>_xlfn.XLOOKUP(J8,A2:A21,E2:E21)</f>
        <v>43255</v>
      </c>
    </row>
    <row r="9" spans="1:13" x14ac:dyDescent="0.25">
      <c r="A9" s="49">
        <v>3008</v>
      </c>
      <c r="B9" s="49" t="s">
        <v>118</v>
      </c>
      <c r="C9" s="49" t="s">
        <v>108</v>
      </c>
      <c r="D9" s="57">
        <v>91659</v>
      </c>
      <c r="E9" s="50">
        <v>43755</v>
      </c>
      <c r="F9" s="75" t="str">
        <f t="shared" ca="1" si="0"/>
        <v>6 Years</v>
      </c>
      <c r="G9" s="62">
        <v>92000</v>
      </c>
      <c r="H9" s="62">
        <v>91000</v>
      </c>
    </row>
    <row r="10" spans="1:13" ht="15.75" x14ac:dyDescent="0.25">
      <c r="A10" s="46">
        <v>3009</v>
      </c>
      <c r="B10" s="46" t="s">
        <v>119</v>
      </c>
      <c r="C10" s="46" t="s">
        <v>108</v>
      </c>
      <c r="D10" s="56">
        <v>90423</v>
      </c>
      <c r="E10" s="48">
        <v>44005</v>
      </c>
      <c r="F10" s="76" t="str">
        <f t="shared" ca="1" si="0"/>
        <v>6 Years</v>
      </c>
      <c r="G10" s="66">
        <v>91000</v>
      </c>
      <c r="H10" s="66">
        <v>90000</v>
      </c>
      <c r="J10" s="70" t="s">
        <v>134</v>
      </c>
      <c r="K10" s="70"/>
    </row>
    <row r="11" spans="1:13" x14ac:dyDescent="0.25">
      <c r="A11" s="49">
        <v>3010</v>
      </c>
      <c r="B11" s="49" t="s">
        <v>120</v>
      </c>
      <c r="C11" s="49" t="s">
        <v>107</v>
      </c>
      <c r="D11" s="57">
        <v>107877</v>
      </c>
      <c r="E11" s="50">
        <v>44255</v>
      </c>
      <c r="F11" s="75" t="str">
        <f t="shared" ca="1" si="0"/>
        <v>5 Years</v>
      </c>
      <c r="G11" s="62">
        <v>108000</v>
      </c>
      <c r="H11" s="62">
        <v>107000</v>
      </c>
      <c r="J11" s="71">
        <f>FLOOR(D2,1000)</f>
        <v>86000</v>
      </c>
      <c r="K11" s="71"/>
    </row>
    <row r="12" spans="1:13" x14ac:dyDescent="0.25">
      <c r="A12" s="46">
        <v>3011</v>
      </c>
      <c r="B12" s="46" t="s">
        <v>121</v>
      </c>
      <c r="C12" s="46" t="s">
        <v>103</v>
      </c>
      <c r="D12" s="56">
        <v>107634</v>
      </c>
      <c r="E12" s="48">
        <v>44505</v>
      </c>
      <c r="F12" s="76" t="str">
        <f t="shared" ca="1" si="0"/>
        <v>4 Years</v>
      </c>
      <c r="G12" s="66">
        <v>108000</v>
      </c>
      <c r="H12" s="66">
        <v>107000</v>
      </c>
      <c r="J12" s="72"/>
      <c r="K12" s="72"/>
    </row>
    <row r="13" spans="1:13" x14ac:dyDescent="0.25">
      <c r="A13" s="49">
        <v>3012</v>
      </c>
      <c r="B13" s="49" t="s">
        <v>122</v>
      </c>
      <c r="C13" s="49" t="s">
        <v>103</v>
      </c>
      <c r="D13" s="57">
        <v>35226</v>
      </c>
      <c r="E13" s="50">
        <v>44755</v>
      </c>
      <c r="F13" s="75" t="str">
        <f t="shared" ca="1" si="0"/>
        <v>4 Years</v>
      </c>
      <c r="G13" s="62">
        <v>36000</v>
      </c>
      <c r="H13" s="62">
        <v>35000</v>
      </c>
    </row>
    <row r="14" spans="1:13" x14ac:dyDescent="0.25">
      <c r="A14" s="46">
        <v>3013</v>
      </c>
      <c r="B14" s="46" t="s">
        <v>123</v>
      </c>
      <c r="C14" s="46" t="s">
        <v>107</v>
      </c>
      <c r="D14" s="56">
        <v>40872</v>
      </c>
      <c r="E14" s="48">
        <v>45005</v>
      </c>
      <c r="F14" s="76" t="str">
        <f t="shared" ca="1" si="0"/>
        <v>3 Years</v>
      </c>
      <c r="G14" s="66">
        <v>41000</v>
      </c>
      <c r="H14" s="66">
        <v>40000</v>
      </c>
    </row>
    <row r="15" spans="1:13" x14ac:dyDescent="0.25">
      <c r="A15" s="49">
        <v>3014</v>
      </c>
      <c r="B15" s="49" t="s">
        <v>124</v>
      </c>
      <c r="C15" s="49" t="s">
        <v>107</v>
      </c>
      <c r="D15" s="57">
        <v>55378</v>
      </c>
      <c r="E15" s="50">
        <v>45255</v>
      </c>
      <c r="F15" s="75" t="str">
        <f t="shared" ca="1" si="0"/>
        <v>2 Years</v>
      </c>
      <c r="G15" s="62">
        <v>56000</v>
      </c>
      <c r="H15" s="62">
        <v>55000</v>
      </c>
    </row>
    <row r="16" spans="1:13" x14ac:dyDescent="0.25">
      <c r="A16" s="46">
        <v>3015</v>
      </c>
      <c r="B16" s="46" t="s">
        <v>125</v>
      </c>
      <c r="C16" s="46" t="s">
        <v>107</v>
      </c>
      <c r="D16" s="56">
        <v>63297</v>
      </c>
      <c r="E16" s="48">
        <v>45505</v>
      </c>
      <c r="F16" s="76" t="str">
        <f t="shared" ca="1" si="0"/>
        <v>2 Years</v>
      </c>
      <c r="G16" s="66">
        <v>64000</v>
      </c>
      <c r="H16" s="66">
        <v>63000</v>
      </c>
      <c r="M16" s="64"/>
    </row>
    <row r="17" spans="1:8" x14ac:dyDescent="0.25">
      <c r="A17" s="49">
        <v>3016</v>
      </c>
      <c r="B17" s="49" t="s">
        <v>126</v>
      </c>
      <c r="C17" s="49" t="s">
        <v>103</v>
      </c>
      <c r="D17" s="57">
        <v>114173</v>
      </c>
      <c r="E17" s="50">
        <v>45755</v>
      </c>
      <c r="F17" s="75" t="str">
        <f t="shared" ca="1" si="0"/>
        <v>1 Years</v>
      </c>
      <c r="G17" s="62">
        <v>115000</v>
      </c>
      <c r="H17" s="62">
        <v>114000</v>
      </c>
    </row>
    <row r="18" spans="1:8" x14ac:dyDescent="0.25">
      <c r="A18" s="46">
        <v>3017</v>
      </c>
      <c r="B18" s="46" t="s">
        <v>127</v>
      </c>
      <c r="C18" s="46" t="s">
        <v>107</v>
      </c>
      <c r="D18" s="56">
        <v>86915</v>
      </c>
      <c r="E18" s="48">
        <v>46005</v>
      </c>
      <c r="F18" s="76" t="str">
        <f t="shared" ca="1" si="0"/>
        <v>0 Years</v>
      </c>
      <c r="G18" s="66">
        <v>87000</v>
      </c>
      <c r="H18" s="66">
        <v>86000</v>
      </c>
    </row>
    <row r="19" spans="1:8" x14ac:dyDescent="0.25">
      <c r="A19" s="49">
        <v>3018</v>
      </c>
      <c r="B19" s="49" t="s">
        <v>128</v>
      </c>
      <c r="C19" s="49" t="s">
        <v>108</v>
      </c>
      <c r="D19" s="57">
        <v>116284</v>
      </c>
      <c r="E19" s="50">
        <v>46255</v>
      </c>
      <c r="F19" s="75" t="str">
        <f t="shared" ca="1" si="0"/>
        <v>0 Years</v>
      </c>
      <c r="G19" s="62">
        <v>117000</v>
      </c>
      <c r="H19" s="62">
        <v>116000</v>
      </c>
    </row>
    <row r="20" spans="1:8" x14ac:dyDescent="0.25">
      <c r="A20" s="46">
        <v>3019</v>
      </c>
      <c r="B20" s="46" t="s">
        <v>129</v>
      </c>
      <c r="C20" s="46" t="s">
        <v>111</v>
      </c>
      <c r="D20" s="56">
        <v>116283</v>
      </c>
      <c r="E20" s="48">
        <v>46505</v>
      </c>
      <c r="F20" s="76" t="str">
        <f t="shared" ca="1" si="0"/>
        <v>Not Joined</v>
      </c>
      <c r="G20" s="66">
        <v>117000</v>
      </c>
      <c r="H20" s="66">
        <v>116000</v>
      </c>
    </row>
    <row r="21" spans="1:8" x14ac:dyDescent="0.25">
      <c r="A21" s="49">
        <v>3020</v>
      </c>
      <c r="B21" s="49" t="s">
        <v>130</v>
      </c>
      <c r="C21" s="49" t="s">
        <v>111</v>
      </c>
      <c r="D21" s="57">
        <v>99924</v>
      </c>
      <c r="E21" s="50">
        <v>46755</v>
      </c>
      <c r="F21" s="75" t="str">
        <f t="shared" ca="1" si="0"/>
        <v>Not Joined</v>
      </c>
      <c r="G21" s="62">
        <v>100000</v>
      </c>
      <c r="H21" s="62">
        <v>99000</v>
      </c>
    </row>
  </sheetData>
  <autoFilter ref="A1:H21" xr:uid="{E58F616D-761F-4F05-82BC-D0423B784B2A}"/>
  <mergeCells count="5">
    <mergeCell ref="J2:K2"/>
    <mergeCell ref="J6:K6"/>
    <mergeCell ref="J10:K10"/>
    <mergeCell ref="J11:K11"/>
    <mergeCell ref="J12: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SALES DATA</vt:lpstr>
      <vt:lpstr>EMPLYEE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kalpesh patil</dc:creator>
  <cp:keywords/>
  <dc:description/>
  <cp:lastModifiedBy>kalpesh patil</cp:lastModifiedBy>
  <cp:revision/>
  <dcterms:created xsi:type="dcterms:W3CDTF">2026-09-03T15:56:32Z</dcterms:created>
  <dcterms:modified xsi:type="dcterms:W3CDTF">2026-09-11T18:37:28Z</dcterms:modified>
  <cp:category/>
  <cp:contentStatus/>
</cp:coreProperties>
</file>